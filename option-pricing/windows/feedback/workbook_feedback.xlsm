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5" windowWidth="16620" windowHeight="12555"/>
  </bookViews>
  <sheets>
    <sheet name="Sheet1" sheetId="1" r:id="rId1"/>
    <sheet name="Sheet2" sheetId="2" r:id="rId2"/>
    <sheet name="Sheet3" sheetId="3" r:id="rId3"/>
  </sheets>
  <functionGroups builtInGroupCount="17"/>
  <calcPr calcId="145621" calcMode="manual" calcCompleted="0" calcOnSave="0"/>
</workbook>
</file>

<file path=xl/calcChain.xml><?xml version="1.0" encoding="utf-8"?>
<calcChain xmlns="http://schemas.openxmlformats.org/spreadsheetml/2006/main">
  <c r="H45" i="1" l="1"/>
  <c r="I45" i="1"/>
  <c r="H46" i="1"/>
  <c r="I46" i="1"/>
  <c r="H47" i="1"/>
  <c r="I47" i="1"/>
  <c r="C14" i="1" l="1" a="1"/>
  <c r="C14" i="1"/>
  <c r="D14" i="1"/>
  <c r="B32" i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18" i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C24" i="1" a="1"/>
  <c r="C13" i="1" a="1"/>
  <c r="C32" i="1" a="1"/>
  <c r="C33" i="1" a="1"/>
  <c r="C34" i="1" a="1"/>
  <c r="C35" i="1" a="1"/>
  <c r="C36" i="1" a="1"/>
  <c r="C37" i="1" a="1"/>
  <c r="C38" i="1" a="1"/>
  <c r="C39" i="1" a="1"/>
  <c r="C40" i="1" a="1"/>
  <c r="C41" i="1" a="1"/>
  <c r="C42" i="1" a="1"/>
  <c r="C31" i="1" a="1"/>
  <c r="C18" i="1" a="1"/>
  <c r="C19" i="1" a="1"/>
  <c r="C20" i="1" a="1"/>
  <c r="C21" i="1" a="1"/>
  <c r="C22" i="1" a="1"/>
  <c r="C23" i="1" a="1"/>
  <c r="C25" i="1" a="1"/>
  <c r="C26" i="1" a="1"/>
  <c r="C27" i="1" a="1"/>
  <c r="C28" i="1" a="1"/>
  <c r="C17" i="1" a="1"/>
  <c r="C4" i="1" a="1"/>
  <c r="C5" i="1" a="1"/>
  <c r="C6" i="1" a="1"/>
  <c r="C7" i="1" a="1"/>
  <c r="C8" i="1" a="1"/>
  <c r="C9" i="1" a="1"/>
  <c r="C10" i="1" a="1"/>
  <c r="C11" i="1" a="1"/>
  <c r="C12" i="1" a="1"/>
  <c r="C3" i="1" a="1"/>
  <c r="C3" i="1" l="1"/>
  <c r="D3" i="1"/>
  <c r="C12" i="1"/>
  <c r="D12" i="1"/>
  <c r="C11" i="1"/>
  <c r="D11" i="1"/>
  <c r="C10" i="1"/>
  <c r="D10" i="1"/>
  <c r="C9" i="1"/>
  <c r="D9" i="1"/>
  <c r="C8" i="1"/>
  <c r="D8" i="1"/>
  <c r="C7" i="1"/>
  <c r="D7" i="1"/>
  <c r="C6" i="1"/>
  <c r="D6" i="1"/>
  <c r="C5" i="1"/>
  <c r="D5" i="1"/>
  <c r="C4" i="1"/>
  <c r="D4" i="1"/>
  <c r="C17" i="1"/>
  <c r="D17" i="1"/>
  <c r="C28" i="1"/>
  <c r="D28" i="1"/>
  <c r="C27" i="1"/>
  <c r="D27" i="1"/>
  <c r="C26" i="1"/>
  <c r="D26" i="1"/>
  <c r="C25" i="1"/>
  <c r="D25" i="1"/>
  <c r="C23" i="1"/>
  <c r="D23" i="1"/>
  <c r="C22" i="1"/>
  <c r="D22" i="1"/>
  <c r="C21" i="1"/>
  <c r="D21" i="1"/>
  <c r="C20" i="1"/>
  <c r="D20" i="1"/>
  <c r="C19" i="1"/>
  <c r="D19" i="1"/>
  <c r="C18" i="1"/>
  <c r="D18" i="1"/>
  <c r="C31" i="1"/>
  <c r="D31" i="1"/>
  <c r="C42" i="1"/>
  <c r="D42" i="1"/>
  <c r="C41" i="1"/>
  <c r="D41" i="1"/>
  <c r="C40" i="1"/>
  <c r="D40" i="1"/>
  <c r="C39" i="1"/>
  <c r="D39" i="1"/>
  <c r="C38" i="1"/>
  <c r="D38" i="1"/>
  <c r="C37" i="1"/>
  <c r="D37" i="1"/>
  <c r="C36" i="1"/>
  <c r="D36" i="1"/>
  <c r="C35" i="1"/>
  <c r="D35" i="1"/>
  <c r="C34" i="1"/>
  <c r="D34" i="1"/>
  <c r="C33" i="1"/>
  <c r="D33" i="1"/>
  <c r="C32" i="1"/>
  <c r="D32" i="1"/>
  <c r="C13" i="1"/>
  <c r="D13" i="1"/>
  <c r="C24" i="1"/>
  <c r="D24" i="1"/>
  <c r="F14" i="1" l="1"/>
  <c r="F10" i="1"/>
  <c r="F5" i="1"/>
  <c r="F12" i="1"/>
  <c r="F4" i="1"/>
  <c r="F11" i="1"/>
  <c r="F7" i="1"/>
  <c r="F3" i="1"/>
  <c r="F13" i="1"/>
  <c r="F8" i="1"/>
  <c r="F18" i="1"/>
  <c r="F20" i="1"/>
  <c r="F25" i="1"/>
  <c r="F28" i="1"/>
  <c r="F22" i="1"/>
  <c r="F27" i="1"/>
  <c r="F21" i="1"/>
  <c r="F23" i="1"/>
  <c r="F24" i="1"/>
  <c r="F17" i="1"/>
  <c r="F35" i="1"/>
  <c r="F31" i="1"/>
  <c r="F33" i="1"/>
  <c r="F41" i="1"/>
  <c r="F38" i="1"/>
  <c r="F37" i="1"/>
  <c r="F32" i="1"/>
  <c r="F34" i="1"/>
  <c r="F40" i="1"/>
  <c r="F36" i="1"/>
  <c r="F39" i="1"/>
  <c r="F42" i="1"/>
  <c r="F19" i="1"/>
  <c r="F26" i="1"/>
  <c r="F6" i="1"/>
  <c r="F9" i="1"/>
  <c r="E14" i="1"/>
  <c r="E11" i="1"/>
  <c r="E8" i="1"/>
  <c r="E5" i="1"/>
  <c r="E13" i="1"/>
  <c r="E10" i="1"/>
  <c r="E7" i="1"/>
  <c r="E4" i="1"/>
  <c r="E12" i="1"/>
  <c r="E9" i="1"/>
  <c r="E6" i="1"/>
  <c r="E3" i="1"/>
</calcChain>
</file>

<file path=xl/sharedStrings.xml><?xml version="1.0" encoding="utf-8"?>
<sst xmlns="http://schemas.openxmlformats.org/spreadsheetml/2006/main" count="20" uniqueCount="19">
  <si>
    <t>S</t>
    <phoneticPr fontId="1" type="noConversion"/>
  </si>
  <si>
    <t>K</t>
    <phoneticPr fontId="1" type="noConversion"/>
  </si>
  <si>
    <t>R</t>
    <phoneticPr fontId="1" type="noConversion"/>
  </si>
  <si>
    <t>V</t>
    <phoneticPr fontId="1" type="noConversion"/>
  </si>
  <si>
    <t>T</t>
    <phoneticPr fontId="1" type="noConversion"/>
  </si>
  <si>
    <t>Closed-form Price</t>
    <phoneticPr fontId="1" type="noConversion"/>
  </si>
  <si>
    <t>MC Price</t>
    <phoneticPr fontId="1" type="noConversion"/>
  </si>
  <si>
    <t>N</t>
    <phoneticPr fontId="1" type="noConversion"/>
  </si>
  <si>
    <t>1. K=80</t>
    <phoneticPr fontId="1" type="noConversion"/>
  </si>
  <si>
    <t>1. ClosedForm</t>
    <phoneticPr fontId="1" type="noConversion"/>
  </si>
  <si>
    <t>1. Rel. Diff</t>
    <phoneticPr fontId="1" type="noConversion"/>
  </si>
  <si>
    <t>2. K=120</t>
    <phoneticPr fontId="1" type="noConversion"/>
  </si>
  <si>
    <t>2. ClosedForm</t>
    <phoneticPr fontId="1" type="noConversion"/>
  </si>
  <si>
    <t>2. Rel. Diff</t>
    <phoneticPr fontId="1" type="noConversion"/>
  </si>
  <si>
    <t>3. Vol=10%</t>
    <phoneticPr fontId="1" type="noConversion"/>
  </si>
  <si>
    <t>3. ClosedForm</t>
    <phoneticPr fontId="1" type="noConversion"/>
  </si>
  <si>
    <t>3. Rel. Diff</t>
    <phoneticPr fontId="1" type="noConversion"/>
  </si>
  <si>
    <t>Time</t>
  </si>
  <si>
    <t>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</si>
</sst>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0%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2" fillId="3" borderId="1" xfId="2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3">
    <cellStyle name="강조색1" xfId="1" builtinId="29"/>
    <cellStyle name="강조색2" xfId="2" builtinId="33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16907261592301"/>
          <c:y val="5.1400554097404488E-2"/>
          <c:w val="0.8044665354330709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1. K=80</c:v>
                </c:pt>
              </c:strCache>
            </c:strRef>
          </c:tx>
          <c:xVal>
            <c:numRef>
              <c:f>Sheet1!$B$3:$B$14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Sheet1!$C$3:$C$14</c:f>
              <c:numCache>
                <c:formatCode>0.0000</c:formatCode>
                <c:ptCount val="12"/>
                <c:pt idx="0">
                  <c:v>25.647036341105569</c:v>
                </c:pt>
                <c:pt idx="1">
                  <c:v>25.336574920348056</c:v>
                </c:pt>
                <c:pt idx="2">
                  <c:v>25.336227755412981</c:v>
                </c:pt>
                <c:pt idx="3">
                  <c:v>25.350901945004839</c:v>
                </c:pt>
                <c:pt idx="4">
                  <c:v>25.421955104010806</c:v>
                </c:pt>
                <c:pt idx="5">
                  <c:v>25.450605218719435</c:v>
                </c:pt>
                <c:pt idx="6">
                  <c:v>25.441172936740507</c:v>
                </c:pt>
                <c:pt idx="7">
                  <c:v>25.472966242103688</c:v>
                </c:pt>
                <c:pt idx="8">
                  <c:v>25.442105790285012</c:v>
                </c:pt>
                <c:pt idx="9">
                  <c:v>25.470155758574716</c:v>
                </c:pt>
                <c:pt idx="10">
                  <c:v>25.46082219458826</c:v>
                </c:pt>
                <c:pt idx="11">
                  <c:v>25.462687365994338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1. ClosedForm</c:v>
                </c:pt>
              </c:strCache>
            </c:strRef>
          </c:tx>
          <c:xVal>
            <c:numRef>
              <c:f>Sheet1!$B$3:$B$14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Sheet1!$E$3:$E$14</c:f>
              <c:numCache>
                <c:formatCode>0.0000</c:formatCode>
                <c:ptCount val="12"/>
                <c:pt idx="0">
                  <c:v>25.467546685311461</c:v>
                </c:pt>
                <c:pt idx="1">
                  <c:v>25.467546685311461</c:v>
                </c:pt>
                <c:pt idx="2">
                  <c:v>25.467546685311461</c:v>
                </c:pt>
                <c:pt idx="3">
                  <c:v>25.467546685311461</c:v>
                </c:pt>
                <c:pt idx="4">
                  <c:v>25.467546685311461</c:v>
                </c:pt>
                <c:pt idx="5">
                  <c:v>25.467546685311461</c:v>
                </c:pt>
                <c:pt idx="6">
                  <c:v>25.467546685311461</c:v>
                </c:pt>
                <c:pt idx="7">
                  <c:v>25.467546685311461</c:v>
                </c:pt>
                <c:pt idx="8">
                  <c:v>25.467546685311461</c:v>
                </c:pt>
                <c:pt idx="9">
                  <c:v>25.467546685311461</c:v>
                </c:pt>
                <c:pt idx="10">
                  <c:v>25.467546685311461</c:v>
                </c:pt>
                <c:pt idx="11">
                  <c:v>25.467546685311461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25632"/>
        <c:axId val="89531520"/>
      </c:scatterChart>
      <c:scatterChart>
        <c:scatterStyle val="smoothMarker"/>
        <c:varyColors val="0"/>
        <c:ser>
          <c:idx val="2"/>
          <c:order val="2"/>
          <c:tx>
            <c:strRef>
              <c:f>Sheet1!$F$2</c:f>
              <c:strCache>
                <c:ptCount val="1"/>
                <c:pt idx="0">
                  <c:v>1. Rel. Diff</c:v>
                </c:pt>
              </c:strCache>
            </c:strRef>
          </c:tx>
          <c:xVal>
            <c:numRef>
              <c:f>Sheet1!$B$3:$B$14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Sheet1!$F$3:$F$14</c:f>
              <c:numCache>
                <c:formatCode>0.0000%</c:formatCode>
                <c:ptCount val="12"/>
                <c:pt idx="0">
                  <c:v>7.0477795922772894E-3</c:v>
                </c:pt>
                <c:pt idx="1">
                  <c:v>-5.1426926425914383E-3</c:v>
                </c:pt>
                <c:pt idx="2">
                  <c:v>-5.1563243024982507E-3</c:v>
                </c:pt>
                <c:pt idx="3">
                  <c:v>-4.5801325800218385E-3</c:v>
                </c:pt>
                <c:pt idx="4">
                  <c:v>-1.79018347797712E-3</c:v>
                </c:pt>
                <c:pt idx="5">
                  <c:v>-6.6521784769310046E-4</c:v>
                </c:pt>
                <c:pt idx="6">
                  <c:v>-1.0355826140947171E-3</c:v>
                </c:pt>
                <c:pt idx="7">
                  <c:v>2.1280246814476815E-4</c:v>
                </c:pt>
                <c:pt idx="8">
                  <c:v>-9.9895350505521023E-4</c:v>
                </c:pt>
                <c:pt idx="9">
                  <c:v>1.0244698068068935E-4</c:v>
                </c:pt>
                <c:pt idx="10">
                  <c:v>-2.6404155870574293E-4</c:v>
                </c:pt>
                <c:pt idx="11">
                  <c:v>-1.9080437457001759E-4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43040"/>
        <c:axId val="89533056"/>
      </c:scatterChart>
      <c:valAx>
        <c:axId val="89525632"/>
        <c:scaling>
          <c:orientation val="minMax"/>
          <c:max val="25000000"/>
        </c:scaling>
        <c:delete val="0"/>
        <c:axPos val="b"/>
        <c:numFmt formatCode="General" sourceLinked="1"/>
        <c:majorTickMark val="out"/>
        <c:minorTickMark val="none"/>
        <c:tickLblPos val="nextTo"/>
        <c:crossAx val="89531520"/>
        <c:crosses val="autoZero"/>
        <c:crossBetween val="midCat"/>
      </c:valAx>
      <c:valAx>
        <c:axId val="89531520"/>
        <c:scaling>
          <c:orientation val="minMax"/>
          <c:max val="25.5"/>
          <c:min val="25.4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89525632"/>
        <c:crosses val="autoZero"/>
        <c:crossBetween val="midCat"/>
      </c:valAx>
      <c:valAx>
        <c:axId val="89533056"/>
        <c:scaling>
          <c:orientation val="minMax"/>
        </c:scaling>
        <c:delete val="0"/>
        <c:axPos val="r"/>
        <c:numFmt formatCode="0.0000%" sourceLinked="1"/>
        <c:majorTickMark val="out"/>
        <c:minorTickMark val="none"/>
        <c:tickLblPos val="nextTo"/>
        <c:crossAx val="89543040"/>
        <c:crosses val="max"/>
        <c:crossBetween val="midCat"/>
      </c:valAx>
      <c:valAx>
        <c:axId val="89543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53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09991251093613"/>
          <c:y val="6.8868474773986596E-2"/>
          <c:w val="0.24409492381916992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72438766730923"/>
          <c:y val="5.1400554097404488E-2"/>
          <c:w val="0.78616394942333456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Sheet1!$C$16</c:f>
              <c:strCache>
                <c:ptCount val="1"/>
                <c:pt idx="0">
                  <c:v>2. K=120</c:v>
                </c:pt>
              </c:strCache>
            </c:strRef>
          </c:tx>
          <c:xVal>
            <c:numRef>
              <c:f>Sheet1!$B$17:$B$28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Sheet1!$C$17:$C$28</c:f>
              <c:numCache>
                <c:formatCode>0.0000</c:formatCode>
                <c:ptCount val="12"/>
                <c:pt idx="0">
                  <c:v>7.7186220655206217</c:v>
                </c:pt>
                <c:pt idx="1">
                  <c:v>7.543466176432565</c:v>
                </c:pt>
                <c:pt idx="2">
                  <c:v>7.5253475939617092</c:v>
                </c:pt>
                <c:pt idx="3">
                  <c:v>7.493508354427779</c:v>
                </c:pt>
                <c:pt idx="4">
                  <c:v>7.5667245103325937</c:v>
                </c:pt>
                <c:pt idx="5">
                  <c:v>7.5768352066852458</c:v>
                </c:pt>
                <c:pt idx="6">
                  <c:v>7.570097687163674</c:v>
                </c:pt>
                <c:pt idx="7">
                  <c:v>7.5807285734666348</c:v>
                </c:pt>
                <c:pt idx="8">
                  <c:v>7.5653129919005613</c:v>
                </c:pt>
                <c:pt idx="9">
                  <c:v>7.5818526400490098</c:v>
                </c:pt>
                <c:pt idx="10">
                  <c:v>7.5757262301749897</c:v>
                </c:pt>
                <c:pt idx="11">
                  <c:v>7.5761219635982497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Sheet1!$E$16</c:f>
              <c:strCache>
                <c:ptCount val="1"/>
                <c:pt idx="0">
                  <c:v>2. ClosedForm</c:v>
                </c:pt>
              </c:strCache>
            </c:strRef>
          </c:tx>
          <c:xVal>
            <c:numRef>
              <c:f>Sheet1!$B$17:$B$28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Sheet1!$E$17:$E$28</c:f>
              <c:numCache>
                <c:formatCode>0.0000</c:formatCode>
                <c:ptCount val="12"/>
                <c:pt idx="0">
                  <c:v>7.5772069070131245</c:v>
                </c:pt>
                <c:pt idx="1">
                  <c:v>7.5772069070131245</c:v>
                </c:pt>
                <c:pt idx="2">
                  <c:v>7.5772069070131245</c:v>
                </c:pt>
                <c:pt idx="3">
                  <c:v>7.5772069070131245</c:v>
                </c:pt>
                <c:pt idx="4">
                  <c:v>7.5772069070131245</c:v>
                </c:pt>
                <c:pt idx="5">
                  <c:v>7.5772069070131245</c:v>
                </c:pt>
                <c:pt idx="6">
                  <c:v>7.5772069070131245</c:v>
                </c:pt>
                <c:pt idx="7">
                  <c:v>7.5772069070131245</c:v>
                </c:pt>
                <c:pt idx="8">
                  <c:v>7.5772069070131245</c:v>
                </c:pt>
                <c:pt idx="9">
                  <c:v>7.5772069070131245</c:v>
                </c:pt>
                <c:pt idx="10">
                  <c:v>7.5772069070131245</c:v>
                </c:pt>
                <c:pt idx="11">
                  <c:v>7.5772069070131245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65824"/>
        <c:axId val="89571712"/>
      </c:scatterChart>
      <c:scatterChart>
        <c:scatterStyle val="smoothMarker"/>
        <c:varyColors val="0"/>
        <c:ser>
          <c:idx val="2"/>
          <c:order val="2"/>
          <c:tx>
            <c:strRef>
              <c:f>Sheet1!$F$16</c:f>
              <c:strCache>
                <c:ptCount val="1"/>
                <c:pt idx="0">
                  <c:v>2. Rel. Diff</c:v>
                </c:pt>
              </c:strCache>
            </c:strRef>
          </c:tx>
          <c:xVal>
            <c:numRef>
              <c:f>Sheet1!$B$17:$B$28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Sheet1!$F$17:$F$28</c:f>
              <c:numCache>
                <c:formatCode>0.0000%</c:formatCode>
                <c:ptCount val="12"/>
                <c:pt idx="0">
                  <c:v>1.8663230428168674E-2</c:v>
                </c:pt>
                <c:pt idx="1">
                  <c:v>-4.4529245399555573E-3</c:v>
                </c:pt>
                <c:pt idx="2">
                  <c:v>-6.8441199623857007E-3</c:v>
                </c:pt>
                <c:pt idx="3">
                  <c:v>-1.1046095693635856E-2</c:v>
                </c:pt>
                <c:pt idx="4">
                  <c:v>-1.3834116989505341E-3</c:v>
                </c:pt>
                <c:pt idx="5">
                  <c:v>-4.9055058472096065E-5</c:v>
                </c:pt>
                <c:pt idx="6">
                  <c:v>-9.3823752428754163E-4</c:v>
                </c:pt>
                <c:pt idx="7">
                  <c:v>4.6477105571061635E-4</c:v>
                </c:pt>
                <c:pt idx="8">
                  <c:v>-1.569696493513294E-3</c:v>
                </c:pt>
                <c:pt idx="9">
                  <c:v>6.1311946379416569E-4</c:v>
                </c:pt>
                <c:pt idx="10">
                  <c:v>-1.9541195803487291E-4</c:v>
                </c:pt>
                <c:pt idx="11">
                  <c:v>-1.431851377676615E-4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74784"/>
        <c:axId val="89573248"/>
      </c:scatterChart>
      <c:valAx>
        <c:axId val="8956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9571712"/>
        <c:crosses val="autoZero"/>
        <c:crossBetween val="midCat"/>
      </c:valAx>
      <c:valAx>
        <c:axId val="89571712"/>
        <c:scaling>
          <c:orientation val="minMax"/>
          <c:max val="7.6"/>
          <c:min val="7.55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89565824"/>
        <c:crosses val="autoZero"/>
        <c:crossBetween val="midCat"/>
      </c:valAx>
      <c:valAx>
        <c:axId val="89573248"/>
        <c:scaling>
          <c:orientation val="minMax"/>
        </c:scaling>
        <c:delete val="0"/>
        <c:axPos val="r"/>
        <c:numFmt formatCode="0.0000%" sourceLinked="1"/>
        <c:majorTickMark val="out"/>
        <c:minorTickMark val="none"/>
        <c:tickLblPos val="nextTo"/>
        <c:crossAx val="89574784"/>
        <c:crosses val="max"/>
        <c:crossBetween val="midCat"/>
      </c:valAx>
      <c:valAx>
        <c:axId val="89574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57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589124492218551"/>
          <c:y val="5.4979585885097708E-2"/>
          <c:w val="0.24409492381916992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72438766730923"/>
          <c:y val="5.1400554097404488E-2"/>
          <c:w val="0.78616394942333456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Sheet1!$C$30</c:f>
              <c:strCache>
                <c:ptCount val="1"/>
                <c:pt idx="0">
                  <c:v>3. Vol=10%</c:v>
                </c:pt>
              </c:strCache>
            </c:strRef>
          </c:tx>
          <c:xVal>
            <c:numRef>
              <c:f>Sheet1!$B$31:$B$42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Sheet1!$C$31:$C$42</c:f>
              <c:numCache>
                <c:formatCode>0.0000</c:formatCode>
                <c:ptCount val="12"/>
                <c:pt idx="0">
                  <c:v>20.89318849869122</c:v>
                </c:pt>
                <c:pt idx="1">
                  <c:v>20.812939626375183</c:v>
                </c:pt>
                <c:pt idx="2">
                  <c:v>20.796334419387065</c:v>
                </c:pt>
                <c:pt idx="3">
                  <c:v>20.808162272539739</c:v>
                </c:pt>
                <c:pt idx="4">
                  <c:v>20.820505908666224</c:v>
                </c:pt>
                <c:pt idx="5">
                  <c:v>20.821578148265147</c:v>
                </c:pt>
                <c:pt idx="6">
                  <c:v>20.815374707589051</c:v>
                </c:pt>
                <c:pt idx="7">
                  <c:v>20.831214842968247</c:v>
                </c:pt>
                <c:pt idx="8">
                  <c:v>20.820675836330803</c:v>
                </c:pt>
                <c:pt idx="9">
                  <c:v>20.828251850971895</c:v>
                </c:pt>
                <c:pt idx="10">
                  <c:v>20.823842957470184</c:v>
                </c:pt>
                <c:pt idx="11">
                  <c:v>20.824271819421039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Sheet1!$E$30</c:f>
              <c:strCache>
                <c:ptCount val="1"/>
                <c:pt idx="0">
                  <c:v>3. ClosedForm</c:v>
                </c:pt>
              </c:strCache>
            </c:strRef>
          </c:tx>
          <c:xVal>
            <c:numRef>
              <c:f>Sheet1!$B$31:$B$42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Sheet1!$E$31:$E$42</c:f>
              <c:numCache>
                <c:formatCode>0.0000</c:formatCode>
                <c:ptCount val="12"/>
                <c:pt idx="0">
                  <c:v>20.825691167995458</c:v>
                </c:pt>
                <c:pt idx="1">
                  <c:v>20.825691167995458</c:v>
                </c:pt>
                <c:pt idx="2">
                  <c:v>20.825691167995458</c:v>
                </c:pt>
                <c:pt idx="3">
                  <c:v>20.825691167995458</c:v>
                </c:pt>
                <c:pt idx="4">
                  <c:v>20.825691167995458</c:v>
                </c:pt>
                <c:pt idx="5">
                  <c:v>20.825691167995458</c:v>
                </c:pt>
                <c:pt idx="6">
                  <c:v>20.825691167995458</c:v>
                </c:pt>
                <c:pt idx="7">
                  <c:v>20.825691167995458</c:v>
                </c:pt>
                <c:pt idx="8">
                  <c:v>20.825691167995458</c:v>
                </c:pt>
                <c:pt idx="9">
                  <c:v>20.825691167995458</c:v>
                </c:pt>
                <c:pt idx="10">
                  <c:v>20.825691167995458</c:v>
                </c:pt>
                <c:pt idx="11">
                  <c:v>20.825691167995458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06720"/>
        <c:axId val="89808256"/>
      </c:scatterChart>
      <c:scatterChart>
        <c:scatterStyle val="smoothMarker"/>
        <c:varyColors val="0"/>
        <c:ser>
          <c:idx val="2"/>
          <c:order val="2"/>
          <c:tx>
            <c:strRef>
              <c:f>Sheet1!$F$30</c:f>
              <c:strCache>
                <c:ptCount val="1"/>
                <c:pt idx="0">
                  <c:v>3. Rel. Diff</c:v>
                </c:pt>
              </c:strCache>
            </c:strRef>
          </c:tx>
          <c:xVal>
            <c:numRef>
              <c:f>Sheet1!$B$31:$B$42</c:f>
              <c:numCache>
                <c:formatCode>General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40000</c:v>
                </c:pt>
                <c:pt idx="3">
                  <c:v>80000</c:v>
                </c:pt>
                <c:pt idx="4">
                  <c:v>160000</c:v>
                </c:pt>
                <c:pt idx="5">
                  <c:v>320000</c:v>
                </c:pt>
                <c:pt idx="6">
                  <c:v>640000</c:v>
                </c:pt>
                <c:pt idx="7">
                  <c:v>1280000</c:v>
                </c:pt>
                <c:pt idx="8">
                  <c:v>2560000</c:v>
                </c:pt>
                <c:pt idx="9">
                  <c:v>5120000</c:v>
                </c:pt>
                <c:pt idx="10">
                  <c:v>10240000</c:v>
                </c:pt>
                <c:pt idx="11">
                  <c:v>20480000</c:v>
                </c:pt>
              </c:numCache>
            </c:numRef>
          </c:xVal>
          <c:yVal>
            <c:numRef>
              <c:f>Sheet1!$F$31:$F$42</c:f>
              <c:numCache>
                <c:formatCode>0.0000%</c:formatCode>
                <c:ptCount val="12"/>
                <c:pt idx="0">
                  <c:v>3.2410607720664976E-3</c:v>
                </c:pt>
                <c:pt idx="1">
                  <c:v>-6.1229860355712046E-4</c:v>
                </c:pt>
                <c:pt idx="2">
                  <c:v>-1.4096410232716744E-3</c:v>
                </c:pt>
                <c:pt idx="3">
                  <c:v>-8.4169573601749082E-4</c:v>
                </c:pt>
                <c:pt idx="4">
                  <c:v>-2.4898378101386321E-4</c:v>
                </c:pt>
                <c:pt idx="5">
                  <c:v>-1.9749739382636557E-4</c:v>
                </c:pt>
                <c:pt idx="6">
                  <c:v>-4.9537181374617741E-4</c:v>
                </c:pt>
                <c:pt idx="7">
                  <c:v>2.6523369276106534E-4</c:v>
                </c:pt>
                <c:pt idx="8">
                  <c:v>-2.4082426000643546E-4</c:v>
                </c:pt>
                <c:pt idx="9">
                  <c:v>1.2295788676499196E-4</c:v>
                </c:pt>
                <c:pt idx="10">
                  <c:v>-8.8746659612176166E-5</c:v>
                </c:pt>
                <c:pt idx="11">
                  <c:v>-6.8153731992368001E-5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19776"/>
        <c:axId val="89818240"/>
      </c:scatterChart>
      <c:valAx>
        <c:axId val="8980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9808256"/>
        <c:crosses val="autoZero"/>
        <c:crossBetween val="midCat"/>
      </c:valAx>
      <c:valAx>
        <c:axId val="89808256"/>
        <c:scaling>
          <c:orientation val="minMax"/>
          <c:max val="20.85"/>
          <c:min val="20.8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89806720"/>
        <c:crosses val="autoZero"/>
        <c:crossBetween val="midCat"/>
      </c:valAx>
      <c:valAx>
        <c:axId val="89818240"/>
        <c:scaling>
          <c:orientation val="minMax"/>
        </c:scaling>
        <c:delete val="0"/>
        <c:axPos val="r"/>
        <c:numFmt formatCode="0.0000%" sourceLinked="1"/>
        <c:majorTickMark val="out"/>
        <c:minorTickMark val="none"/>
        <c:tickLblPos val="nextTo"/>
        <c:crossAx val="89819776"/>
        <c:crosses val="max"/>
        <c:crossBetween val="midCat"/>
      </c:valAx>
      <c:valAx>
        <c:axId val="89819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818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972250356672222"/>
          <c:y val="7.3498104403616218E-2"/>
          <c:w val="0.24409492381916992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0</xdr:row>
      <xdr:rowOff>142875</xdr:rowOff>
    </xdr:from>
    <xdr:to>
      <xdr:col>12</xdr:col>
      <xdr:colOff>657225</xdr:colOff>
      <xdr:row>13</xdr:row>
      <xdr:rowOff>161925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15</xdr:row>
      <xdr:rowOff>28575</xdr:rowOff>
    </xdr:from>
    <xdr:to>
      <xdr:col>12</xdr:col>
      <xdr:colOff>676275</xdr:colOff>
      <xdr:row>28</xdr:row>
      <xdr:rowOff>47625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224117</xdr:colOff>
      <xdr:row>28</xdr:row>
      <xdr:rowOff>200025</xdr:rowOff>
    </xdr:from>
    <xdr:to>
      <xdr:col>12</xdr:col>
      <xdr:colOff>661147</xdr:colOff>
      <xdr:row>42</xdr:row>
      <xdr:rowOff>9525</xdr:rowOff>
    </xdr:to>
    <xdr:graphicFrame macro="">
      <xdr:nvGraphicFramePr>
        <xdr:cNvPr id="10" name="차트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7"/>
  <sheetViews>
    <sheetView tabSelected="1" zoomScale="85" zoomScaleNormal="85" workbookViewId="0">
      <selection activeCell="F15" sqref="F15"/>
    </sheetView>
  </sheetViews>
  <sheetFormatPr defaultColWidth="0" defaultRowHeight="16.5" zeroHeight="1" x14ac:dyDescent="0.3"/>
  <cols>
    <col min="1" max="1" width="4.5" style="1" customWidth="1"/>
    <col min="2" max="2" width="9.5" style="1" bestFit="1" customWidth="1"/>
    <col min="3" max="3" width="11.5" style="1" bestFit="1" customWidth="1"/>
    <col min="4" max="4" width="6.875" style="1" bestFit="1" customWidth="1"/>
    <col min="5" max="5" width="12.625" style="1" customWidth="1"/>
    <col min="6" max="6" width="17.625" style="1" bestFit="1" customWidth="1"/>
    <col min="7" max="13" width="12.625" style="1" customWidth="1"/>
    <col min="14" max="16384" width="9" style="1" hidden="1"/>
  </cols>
  <sheetData>
    <row r="1" spans="2:6" x14ac:dyDescent="0.3"/>
    <row r="2" spans="2:6" x14ac:dyDescent="0.3">
      <c r="B2" s="2"/>
      <c r="C2" s="3" t="s">
        <v>8</v>
      </c>
      <c r="D2" s="3" t="s">
        <v>18</v>
      </c>
      <c r="E2" s="3" t="s">
        <v>9</v>
      </c>
      <c r="F2" s="3" t="s">
        <v>10</v>
      </c>
    </row>
    <row r="3" spans="2:6" x14ac:dyDescent="0.3">
      <c r="B3" s="4">
        <v>10000</v>
      </c>
      <c r="C3" s="5">
        <f t="array" aca="1" ref="C3:D3" ca="1">callmc_time(Sheet1!$B$45,Sheet1!$C$45,Sheet1!$D$45,Sheet1!$E$45,Sheet1!$F$45,B3)</f>
        <v>25.647036341105569</v>
      </c>
      <c r="D3" s="5">
        <f ca="1"/>
        <v>1.953125E-3</v>
      </c>
      <c r="E3" s="5">
        <f ca="1">Sheet1!$H$45</f>
        <v>25.467546685311461</v>
      </c>
      <c r="F3" s="7">
        <f ca="1">(C3-Sheet1!$H$45)/Sheet1!$H$45</f>
        <v>7.0477795922772894E-3</v>
      </c>
    </row>
    <row r="4" spans="2:6" x14ac:dyDescent="0.3">
      <c r="B4" s="4">
        <f ca="1">B3*2</f>
        <v>20000</v>
      </c>
      <c r="C4" s="5">
        <f t="array" aca="1" ref="C4:D4" ca="1">callmc_time(Sheet1!$B$45,Sheet1!$C$45,Sheet1!$D$45,Sheet1!$E$45,Sheet1!$F$45,B4)</f>
        <v>25.336574920348056</v>
      </c>
      <c r="D4" s="5">
        <f ca="1"/>
        <v>3.90625E-3</v>
      </c>
      <c r="E4" s="5">
        <f ca="1">Sheet1!$H$45</f>
        <v>25.467546685311461</v>
      </c>
      <c r="F4" s="7">
        <f ca="1">(C4-Sheet1!$H$45)/Sheet1!$H$45</f>
        <v>-5.1426926425914383E-3</v>
      </c>
    </row>
    <row r="5" spans="2:6" x14ac:dyDescent="0.3">
      <c r="B5" s="4">
        <f t="shared" ref="B5:B10" ca="1" si="0">B4*2</f>
        <v>40000</v>
      </c>
      <c r="C5" s="5">
        <f t="array" aca="1" ref="C5:D5" ca="1">callmc_time(Sheet1!$B$45,Sheet1!$C$45,Sheet1!$D$45,Sheet1!$E$45,Sheet1!$F$45,B5)</f>
        <v>25.336227755412981</v>
      </c>
      <c r="D5" s="5">
        <f ca="1"/>
        <v>5.859375E-3</v>
      </c>
      <c r="E5" s="5">
        <f ca="1">Sheet1!$H$45</f>
        <v>25.467546685311461</v>
      </c>
      <c r="F5" s="7">
        <f ca="1">(C5-Sheet1!$H$45)/Sheet1!$H$45</f>
        <v>-5.1563243024982507E-3</v>
      </c>
    </row>
    <row r="6" spans="2:6" x14ac:dyDescent="0.3">
      <c r="B6" s="4">
        <f t="shared" ca="1" si="0"/>
        <v>80000</v>
      </c>
      <c r="C6" s="5">
        <f t="array" aca="1" ref="C6:D6" ca="1">callmc_time(Sheet1!$B$45,Sheet1!$C$45,Sheet1!$D$45,Sheet1!$E$45,Sheet1!$F$45,B6)</f>
        <v>25.350901945004839</v>
      </c>
      <c r="D6" s="5">
        <f ca="1"/>
        <v>1.3671875E-2</v>
      </c>
      <c r="E6" s="5">
        <f ca="1">Sheet1!$H$45</f>
        <v>25.467546685311461</v>
      </c>
      <c r="F6" s="7">
        <f ca="1">(C6-Sheet1!$H$45)/Sheet1!$H$45</f>
        <v>-4.5801325800218385E-3</v>
      </c>
    </row>
    <row r="7" spans="2:6" x14ac:dyDescent="0.3">
      <c r="B7" s="4">
        <f t="shared" ca="1" si="0"/>
        <v>160000</v>
      </c>
      <c r="C7" s="5">
        <f t="array" aca="1" ref="C7:D7" ca="1">callmc_time(Sheet1!$B$45,Sheet1!$C$45,Sheet1!$D$45,Sheet1!$E$45,Sheet1!$F$45,B7)</f>
        <v>25.421955104010806</v>
      </c>
      <c r="D7" s="5">
        <f ca="1"/>
        <v>2.5390625E-2</v>
      </c>
      <c r="E7" s="5">
        <f ca="1">Sheet1!$H$45</f>
        <v>25.467546685311461</v>
      </c>
      <c r="F7" s="7">
        <f ca="1">(C7-Sheet1!$H$45)/Sheet1!$H$45</f>
        <v>-1.79018347797712E-3</v>
      </c>
    </row>
    <row r="8" spans="2:6" x14ac:dyDescent="0.3">
      <c r="B8" s="4">
        <f t="shared" ca="1" si="0"/>
        <v>320000</v>
      </c>
      <c r="C8" s="5">
        <f t="array" aca="1" ref="C8:D8" ca="1">callmc_time(Sheet1!$B$45,Sheet1!$C$45,Sheet1!$D$45,Sheet1!$E$45,Sheet1!$F$45,B8)</f>
        <v>25.450605218719435</v>
      </c>
      <c r="D8" s="5">
        <f ca="1"/>
        <v>4.8828125E-2</v>
      </c>
      <c r="E8" s="5">
        <f ca="1">Sheet1!$H$45</f>
        <v>25.467546685311461</v>
      </c>
      <c r="F8" s="7">
        <f ca="1">(C8-Sheet1!$H$45)/Sheet1!$H$45</f>
        <v>-6.6521784769310046E-4</v>
      </c>
    </row>
    <row r="9" spans="2:6" x14ac:dyDescent="0.3">
      <c r="B9" s="4">
        <f t="shared" ca="1" si="0"/>
        <v>640000</v>
      </c>
      <c r="C9" s="5">
        <f t="array" aca="1" ref="C9:D9" ca="1">callmc_time(Sheet1!$B$45,Sheet1!$C$45,Sheet1!$D$45,Sheet1!$E$45,Sheet1!$F$45,B9)</f>
        <v>25.441172936740507</v>
      </c>
      <c r="D9" s="5">
        <f ca="1"/>
        <v>9.9609375E-2</v>
      </c>
      <c r="E9" s="5">
        <f ca="1">Sheet1!$H$45</f>
        <v>25.467546685311461</v>
      </c>
      <c r="F9" s="7">
        <f ca="1">(C9-Sheet1!$H$45)/Sheet1!$H$45</f>
        <v>-1.0355826140947171E-3</v>
      </c>
    </row>
    <row r="10" spans="2:6" x14ac:dyDescent="0.3">
      <c r="B10" s="4">
        <f t="shared" ca="1" si="0"/>
        <v>1280000</v>
      </c>
      <c r="C10" s="5">
        <f t="array" aca="1" ref="C10:D10" ca="1">callmc_time(Sheet1!$B$45,Sheet1!$C$45,Sheet1!$D$45,Sheet1!$E$45,Sheet1!$F$45,B10)</f>
        <v>25.472966242103688</v>
      </c>
      <c r="D10" s="5">
        <f ca="1"/>
        <v>0.19921875</v>
      </c>
      <c r="E10" s="5">
        <f ca="1">Sheet1!$H$45</f>
        <v>25.467546685311461</v>
      </c>
      <c r="F10" s="7">
        <f ca="1">(C10-Sheet1!$H$45)/Sheet1!$H$45</f>
        <v>2.1280246814476815E-4</v>
      </c>
    </row>
    <row r="11" spans="2:6" x14ac:dyDescent="0.3">
      <c r="B11" s="4">
        <f t="shared" ref="B11" ca="1" si="1">B10*2</f>
        <v>2560000</v>
      </c>
      <c r="C11" s="5">
        <f t="array" aca="1" ref="C11:D11" ca="1">callmc_time(Sheet1!$B$45,Sheet1!$C$45,Sheet1!$D$45,Sheet1!$E$45,Sheet1!$F$45,B11)</f>
        <v>25.442105790285012</v>
      </c>
      <c r="D11" s="5">
        <f ca="1"/>
        <v>0.3984375</v>
      </c>
      <c r="E11" s="5">
        <f ca="1">Sheet1!$H$45</f>
        <v>25.467546685311461</v>
      </c>
      <c r="F11" s="7">
        <f ca="1">(C11-Sheet1!$H$45)/Sheet1!$H$45</f>
        <v>-9.9895350505521023E-4</v>
      </c>
    </row>
    <row r="12" spans="2:6" x14ac:dyDescent="0.3">
      <c r="B12" s="4">
        <f t="shared" ref="B12:B14" ca="1" si="2">B11*2</f>
        <v>5120000</v>
      </c>
      <c r="C12" s="5">
        <f t="array" aca="1" ref="C12:D12" ca="1">callmc_time(Sheet1!$B$45,Sheet1!$C$45,Sheet1!$D$45,Sheet1!$E$45,Sheet1!$F$45,B12)</f>
        <v>25.470155758574716</v>
      </c>
      <c r="D12" s="5">
        <f ca="1"/>
        <v>0.79296875</v>
      </c>
      <c r="E12" s="5">
        <f ca="1">Sheet1!$H$45</f>
        <v>25.467546685311461</v>
      </c>
      <c r="F12" s="7">
        <f ca="1">(C12-Sheet1!$H$45)/Sheet1!$H$45</f>
        <v>1.0244698068068935E-4</v>
      </c>
    </row>
    <row r="13" spans="2:6" x14ac:dyDescent="0.3">
      <c r="B13" s="4">
        <f t="shared" ca="1" si="2"/>
        <v>10240000</v>
      </c>
      <c r="C13" s="5">
        <f t="array" aca="1" ref="C13:D13" ca="1">callmc_time(Sheet1!$B$45,Sheet1!$C$45,Sheet1!$D$45,Sheet1!$E$45,Sheet1!$F$45,B13)</f>
        <v>25.46082219458826</v>
      </c>
      <c r="D13" s="5">
        <f ca="1"/>
        <v>1.66015625</v>
      </c>
      <c r="E13" s="5">
        <f ca="1">Sheet1!$H$45</f>
        <v>25.467546685311461</v>
      </c>
      <c r="F13" s="7">
        <f ca="1">(C13-Sheet1!$H$45)/Sheet1!$H$45</f>
        <v>-2.6404155870574293E-4</v>
      </c>
    </row>
    <row r="14" spans="2:6" x14ac:dyDescent="0.3">
      <c r="B14" s="4">
        <f t="shared" ca="1" si="2"/>
        <v>20480000</v>
      </c>
      <c r="C14" s="5">
        <f t="array" aca="1" ref="C14:D14" ca="1">callmc_time(Sheet1!$B$45,Sheet1!$C$45,Sheet1!$D$45,Sheet1!$E$45,Sheet1!$F$45,B14)</f>
        <v>25.462687365994338</v>
      </c>
      <c r="D14" s="5">
        <f ca="1"/>
        <v>3.20703125</v>
      </c>
      <c r="E14" s="5">
        <f ca="1">Sheet1!$H$45</f>
        <v>25.467546685311461</v>
      </c>
      <c r="F14" s="7">
        <f ca="1">(C14-Sheet1!$H$45)/Sheet1!$H$45</f>
        <v>-1.9080437457001759E-4</v>
      </c>
    </row>
    <row r="15" spans="2:6" x14ac:dyDescent="0.3"/>
    <row r="16" spans="2:6" x14ac:dyDescent="0.3">
      <c r="B16" s="2"/>
      <c r="C16" s="3" t="s">
        <v>11</v>
      </c>
      <c r="D16" s="3" t="s">
        <v>17</v>
      </c>
      <c r="E16" s="3" t="s">
        <v>12</v>
      </c>
      <c r="F16" s="3" t="s">
        <v>13</v>
      </c>
    </row>
    <row r="17" spans="2:6" x14ac:dyDescent="0.3">
      <c r="B17" s="4">
        <v>10000</v>
      </c>
      <c r="C17" s="5">
        <f t="array" aca="1" ref="C17:D17" ca="1">callmc_time(Sheet1!$B$46,Sheet1!$C$46,Sheet1!$D$46,Sheet1!$E$46,Sheet1!$F$46,B3)</f>
        <v>7.7186220655206217</v>
      </c>
      <c r="D17" s="5">
        <f ca="1"/>
        <v>1.953125E-3</v>
      </c>
      <c r="E17" s="5">
        <v>7.5772069070131245</v>
      </c>
      <c r="F17" s="7">
        <f ca="1">(C17-Sheet1!$H$46)/Sheet1!$H$46</f>
        <v>1.8663230428168674E-2</v>
      </c>
    </row>
    <row r="18" spans="2:6" x14ac:dyDescent="0.3">
      <c r="B18" s="4">
        <f ca="1">B17*2</f>
        <v>20000</v>
      </c>
      <c r="C18" s="5">
        <f t="array" aca="1" ref="C18:D18" ca="1">callmc_time(Sheet1!$B$46,Sheet1!$C$46,Sheet1!$D$46,Sheet1!$E$46,Sheet1!$F$46,B4)</f>
        <v>7.543466176432565</v>
      </c>
      <c r="D18" s="5">
        <f ca="1"/>
        <v>3.90625E-3</v>
      </c>
      <c r="E18" s="5">
        <v>7.5772069070131245</v>
      </c>
      <c r="F18" s="7">
        <f ca="1">(C18-Sheet1!$H$46)/Sheet1!$H$46</f>
        <v>-4.4529245399555573E-3</v>
      </c>
    </row>
    <row r="19" spans="2:6" x14ac:dyDescent="0.3">
      <c r="B19" s="4">
        <f t="shared" ref="B19:B28" ca="1" si="3">B18*2</f>
        <v>40000</v>
      </c>
      <c r="C19" s="5">
        <f t="array" aca="1" ref="C19:D19" ca="1">callmc_time(Sheet1!$B$46,Sheet1!$C$46,Sheet1!$D$46,Sheet1!$E$46,Sheet1!$F$46,B5)</f>
        <v>7.5253475939617092</v>
      </c>
      <c r="D19" s="5">
        <f ca="1"/>
        <v>5.859375E-3</v>
      </c>
      <c r="E19" s="5">
        <v>7.5772069070131245</v>
      </c>
      <c r="F19" s="7">
        <f ca="1">(C19-Sheet1!$H$46)/Sheet1!$H$46</f>
        <v>-6.8441199623857007E-3</v>
      </c>
    </row>
    <row r="20" spans="2:6" x14ac:dyDescent="0.3">
      <c r="B20" s="4">
        <f t="shared" ca="1" si="3"/>
        <v>80000</v>
      </c>
      <c r="C20" s="5">
        <f t="array" aca="1" ref="C20:D20" ca="1">callmc_time(Sheet1!$B$46,Sheet1!$C$46,Sheet1!$D$46,Sheet1!$E$46,Sheet1!$F$46,B6)</f>
        <v>7.493508354427779</v>
      </c>
      <c r="D20" s="5">
        <f ca="1"/>
        <v>1.3671875E-2</v>
      </c>
      <c r="E20" s="5">
        <v>7.5772069070131245</v>
      </c>
      <c r="F20" s="7">
        <f ca="1">(C20-Sheet1!$H$46)/Sheet1!$H$46</f>
        <v>-1.1046095693635856E-2</v>
      </c>
    </row>
    <row r="21" spans="2:6" x14ac:dyDescent="0.3">
      <c r="B21" s="4">
        <f t="shared" ca="1" si="3"/>
        <v>160000</v>
      </c>
      <c r="C21" s="5">
        <f t="array" aca="1" ref="C21:D21" ca="1">callmc_time(Sheet1!$B$46,Sheet1!$C$46,Sheet1!$D$46,Sheet1!$E$46,Sheet1!$F$46,B7)</f>
        <v>7.5667245103325937</v>
      </c>
      <c r="D21" s="5">
        <f ca="1"/>
        <v>2.5390625E-2</v>
      </c>
      <c r="E21" s="5">
        <v>7.5772069070131245</v>
      </c>
      <c r="F21" s="7">
        <f ca="1">(C21-Sheet1!$H$46)/Sheet1!$H$46</f>
        <v>-1.3834116989505341E-3</v>
      </c>
    </row>
    <row r="22" spans="2:6" x14ac:dyDescent="0.3">
      <c r="B22" s="4">
        <f t="shared" ca="1" si="3"/>
        <v>320000</v>
      </c>
      <c r="C22" s="5">
        <f t="array" aca="1" ref="C22:D22" ca="1">callmc_time(Sheet1!$B$46,Sheet1!$C$46,Sheet1!$D$46,Sheet1!$E$46,Sheet1!$F$46,B8)</f>
        <v>7.5768352066852458</v>
      </c>
      <c r="D22" s="5">
        <f ca="1"/>
        <v>4.8828125E-2</v>
      </c>
      <c r="E22" s="5">
        <v>7.5772069070131245</v>
      </c>
      <c r="F22" s="7">
        <f ca="1">(C22-Sheet1!$H$46)/Sheet1!$H$46</f>
        <v>-4.9055058472096065E-5</v>
      </c>
    </row>
    <row r="23" spans="2:6" x14ac:dyDescent="0.3">
      <c r="B23" s="4">
        <f t="shared" ca="1" si="3"/>
        <v>640000</v>
      </c>
      <c r="C23" s="5">
        <f t="array" aca="1" ref="C23:D23" ca="1">callmc_time(Sheet1!$B$46,Sheet1!$C$46,Sheet1!$D$46,Sheet1!$E$46,Sheet1!$F$46,B9)</f>
        <v>7.570097687163674</v>
      </c>
      <c r="D23" s="5">
        <f ca="1"/>
        <v>0.1015625</v>
      </c>
      <c r="E23" s="5">
        <v>7.5772069070131245</v>
      </c>
      <c r="F23" s="7">
        <f ca="1">(C23-Sheet1!$H$46)/Sheet1!$H$46</f>
        <v>-9.3823752428754163E-4</v>
      </c>
    </row>
    <row r="24" spans="2:6" x14ac:dyDescent="0.3">
      <c r="B24" s="4">
        <f t="shared" ca="1" si="3"/>
        <v>1280000</v>
      </c>
      <c r="C24" s="5">
        <f t="array" aca="1" ref="C24:D24" ca="1">callmc_time(Sheet1!$B$46,Sheet1!$C$46,Sheet1!$D$46,Sheet1!$E$46,Sheet1!$F$46,B10)</f>
        <v>7.5807285734666348</v>
      </c>
      <c r="D24" s="5">
        <f ca="1"/>
        <v>0.197265625</v>
      </c>
      <c r="E24" s="5">
        <v>7.5772069070131245</v>
      </c>
      <c r="F24" s="7">
        <f ca="1">(C24-Sheet1!$H$46)/Sheet1!$H$46</f>
        <v>4.6477105571061635E-4</v>
      </c>
    </row>
    <row r="25" spans="2:6" x14ac:dyDescent="0.3">
      <c r="B25" s="4">
        <f t="shared" ca="1" si="3"/>
        <v>2560000</v>
      </c>
      <c r="C25" s="5">
        <f t="array" aca="1" ref="C25:D25" ca="1">callmc_time(Sheet1!$B$46,Sheet1!$C$46,Sheet1!$D$46,Sheet1!$E$46,Sheet1!$F$46,B11)</f>
        <v>7.5653129919005613</v>
      </c>
      <c r="D25" s="5">
        <f ca="1"/>
        <v>0.3984375</v>
      </c>
      <c r="E25" s="5">
        <v>7.5772069070131245</v>
      </c>
      <c r="F25" s="7">
        <f ca="1">(C25-Sheet1!$H$46)/Sheet1!$H$46</f>
        <v>-1.569696493513294E-3</v>
      </c>
    </row>
    <row r="26" spans="2:6" x14ac:dyDescent="0.3">
      <c r="B26" s="4">
        <f t="shared" ca="1" si="3"/>
        <v>5120000</v>
      </c>
      <c r="C26" s="5">
        <f t="array" aca="1" ref="C26:D26" ca="1">callmc_time(Sheet1!$B$46,Sheet1!$C$46,Sheet1!$D$46,Sheet1!$E$46,Sheet1!$F$46,B12)</f>
        <v>7.5818526400490098</v>
      </c>
      <c r="D26" s="5">
        <f ca="1"/>
        <v>0.802734375</v>
      </c>
      <c r="E26" s="5">
        <v>7.5772069070131245</v>
      </c>
      <c r="F26" s="7">
        <f ca="1">(C26-Sheet1!$H$46)/Sheet1!$H$46</f>
        <v>6.1311946379416569E-4</v>
      </c>
    </row>
    <row r="27" spans="2:6" x14ac:dyDescent="0.3">
      <c r="B27" s="4">
        <f t="shared" ca="1" si="3"/>
        <v>10240000</v>
      </c>
      <c r="C27" s="5">
        <f t="array" aca="1" ref="C27:D27" ca="1">callmc_time(Sheet1!$B$46,Sheet1!$C$46,Sheet1!$D$46,Sheet1!$E$46,Sheet1!$F$46,B13)</f>
        <v>7.5757262301749897</v>
      </c>
      <c r="D27" s="5">
        <f ca="1"/>
        <v>1.5859375</v>
      </c>
      <c r="E27" s="5">
        <v>7.5772069070131245</v>
      </c>
      <c r="F27" s="7">
        <f ca="1">(C27-Sheet1!$H$46)/Sheet1!$H$46</f>
        <v>-1.9541195803487291E-4</v>
      </c>
    </row>
    <row r="28" spans="2:6" x14ac:dyDescent="0.3">
      <c r="B28" s="4">
        <f t="shared" ca="1" si="3"/>
        <v>20480000</v>
      </c>
      <c r="C28" s="5">
        <f t="array" aca="1" ref="C28:D28" ca="1">callmc_time(Sheet1!$B$46,Sheet1!$C$46,Sheet1!$D$46,Sheet1!$E$46,Sheet1!$F$46,B14)</f>
        <v>7.5761219635982497</v>
      </c>
      <c r="D28" s="5">
        <f ca="1"/>
        <v>3.216796875</v>
      </c>
      <c r="E28" s="5">
        <v>7.5772069070131245</v>
      </c>
      <c r="F28" s="7">
        <f ca="1">(C28-Sheet1!$H$46)/Sheet1!$H$46</f>
        <v>-1.431851377676615E-4</v>
      </c>
    </row>
    <row r="29" spans="2:6" x14ac:dyDescent="0.3"/>
    <row r="30" spans="2:6" x14ac:dyDescent="0.3">
      <c r="B30" s="2"/>
      <c r="C30" s="3" t="s">
        <v>14</v>
      </c>
      <c r="D30" s="3" t="s">
        <v>17</v>
      </c>
      <c r="E30" s="3" t="s">
        <v>15</v>
      </c>
      <c r="F30" s="3" t="s">
        <v>16</v>
      </c>
    </row>
    <row r="31" spans="2:6" x14ac:dyDescent="0.3">
      <c r="B31" s="4">
        <v>10000</v>
      </c>
      <c r="C31" s="5">
        <f t="array" aca="1" ref="C31:D31" ca="1">callmc_time(Sheet1!$B$47,Sheet1!$C$47,Sheet1!$D$47,Sheet1!$E$47,Sheet1!$F$47,B3)</f>
        <v>20.89318849869122</v>
      </c>
      <c r="D31" s="5">
        <f ca="1"/>
        <v>1.953125E-3</v>
      </c>
      <c r="E31" s="5">
        <v>20.825691167995458</v>
      </c>
      <c r="F31" s="7">
        <f ca="1">(C31-Sheet1!$H$47)/Sheet1!$H$47</f>
        <v>3.2410607720664976E-3</v>
      </c>
    </row>
    <row r="32" spans="2:6" x14ac:dyDescent="0.3">
      <c r="B32" s="4">
        <f ca="1">B31*2</f>
        <v>20000</v>
      </c>
      <c r="C32" s="5">
        <f t="array" aca="1" ref="C32:D32" ca="1">callmc_time(Sheet1!$B$47,Sheet1!$C$47,Sheet1!$D$47,Sheet1!$E$47,Sheet1!$F$47,B4)</f>
        <v>20.812939626375183</v>
      </c>
      <c r="D32" s="5">
        <f ca="1"/>
        <v>3.90625E-3</v>
      </c>
      <c r="E32" s="5">
        <v>20.825691167995458</v>
      </c>
      <c r="F32" s="7">
        <f ca="1">(C32-Sheet1!$H$47)/Sheet1!$H$47</f>
        <v>-6.1229860355712046E-4</v>
      </c>
    </row>
    <row r="33" spans="2:9" x14ac:dyDescent="0.3">
      <c r="B33" s="4">
        <f t="shared" ref="B33:B42" ca="1" si="4">B32*2</f>
        <v>40000</v>
      </c>
      <c r="C33" s="5">
        <f t="array" aca="1" ref="C33:D33" ca="1">callmc_time(Sheet1!$B$47,Sheet1!$C$47,Sheet1!$D$47,Sheet1!$E$47,Sheet1!$F$47,B5)</f>
        <v>20.796334419387065</v>
      </c>
      <c r="D33" s="5">
        <f ca="1"/>
        <v>7.8125E-3</v>
      </c>
      <c r="E33" s="5">
        <v>20.825691167995458</v>
      </c>
      <c r="F33" s="7">
        <f ca="1">(C33-Sheet1!$H$47)/Sheet1!$H$47</f>
        <v>-1.4096410232716744E-3</v>
      </c>
    </row>
    <row r="34" spans="2:9" x14ac:dyDescent="0.3">
      <c r="B34" s="4">
        <f t="shared" ca="1" si="4"/>
        <v>80000</v>
      </c>
      <c r="C34" s="5">
        <f t="array" aca="1" ref="C34:D34" ca="1">callmc_time(Sheet1!$B$47,Sheet1!$C$47,Sheet1!$D$47,Sheet1!$E$47,Sheet1!$F$47,B6)</f>
        <v>20.808162272539739</v>
      </c>
      <c r="D34" s="5">
        <f ca="1"/>
        <v>1.3671875E-2</v>
      </c>
      <c r="E34" s="5">
        <v>20.825691167995458</v>
      </c>
      <c r="F34" s="7">
        <f ca="1">(C34-Sheet1!$H$47)/Sheet1!$H$47</f>
        <v>-8.4169573601749082E-4</v>
      </c>
    </row>
    <row r="35" spans="2:9" x14ac:dyDescent="0.3">
      <c r="B35" s="4">
        <f t="shared" ca="1" si="4"/>
        <v>160000</v>
      </c>
      <c r="C35" s="5">
        <f t="array" aca="1" ref="C35:D35" ca="1">callmc_time(Sheet1!$B$47,Sheet1!$C$47,Sheet1!$D$47,Sheet1!$E$47,Sheet1!$F$47,B7)</f>
        <v>20.820505908666224</v>
      </c>
      <c r="D35" s="5">
        <f ca="1"/>
        <v>2.5390625E-2</v>
      </c>
      <c r="E35" s="5">
        <v>20.825691167995458</v>
      </c>
      <c r="F35" s="7">
        <f ca="1">(C35-Sheet1!$H$47)/Sheet1!$H$47</f>
        <v>-2.4898378101386321E-4</v>
      </c>
    </row>
    <row r="36" spans="2:9" x14ac:dyDescent="0.3">
      <c r="B36" s="4">
        <f t="shared" ca="1" si="4"/>
        <v>320000</v>
      </c>
      <c r="C36" s="5">
        <f t="array" aca="1" ref="C36:D36" ca="1">callmc_time(Sheet1!$B$47,Sheet1!$C$47,Sheet1!$D$47,Sheet1!$E$47,Sheet1!$F$47,B8)</f>
        <v>20.821578148265147</v>
      </c>
      <c r="D36" s="5">
        <f ca="1"/>
        <v>5.078125E-2</v>
      </c>
      <c r="E36" s="5">
        <v>20.825691167995458</v>
      </c>
      <c r="F36" s="7">
        <f ca="1">(C36-Sheet1!$H$47)/Sheet1!$H$47</f>
        <v>-1.9749739382636557E-4</v>
      </c>
    </row>
    <row r="37" spans="2:9" x14ac:dyDescent="0.3">
      <c r="B37" s="4">
        <f t="shared" ca="1" si="4"/>
        <v>640000</v>
      </c>
      <c r="C37" s="5">
        <f t="array" aca="1" ref="C37:D37" ca="1">callmc_time(Sheet1!$B$47,Sheet1!$C$47,Sheet1!$D$47,Sheet1!$E$47,Sheet1!$F$47,B9)</f>
        <v>20.815374707589051</v>
      </c>
      <c r="D37" s="5">
        <f ca="1"/>
        <v>9.9609375E-2</v>
      </c>
      <c r="E37" s="5">
        <v>20.825691167995458</v>
      </c>
      <c r="F37" s="7">
        <f ca="1">(C37-Sheet1!$H$47)/Sheet1!$H$47</f>
        <v>-4.9537181374617741E-4</v>
      </c>
    </row>
    <row r="38" spans="2:9" x14ac:dyDescent="0.3">
      <c r="B38" s="4">
        <f t="shared" ca="1" si="4"/>
        <v>1280000</v>
      </c>
      <c r="C38" s="5">
        <f t="array" aca="1" ref="C38:D38" ca="1">callmc_time(Sheet1!$B$47,Sheet1!$C$47,Sheet1!$D$47,Sheet1!$E$47,Sheet1!$F$47,B10)</f>
        <v>20.831214842968247</v>
      </c>
      <c r="D38" s="5">
        <f ca="1"/>
        <v>0.203125</v>
      </c>
      <c r="E38" s="5">
        <v>20.825691167995458</v>
      </c>
      <c r="F38" s="7">
        <f ca="1">(C38-Sheet1!$H$47)/Sheet1!$H$47</f>
        <v>2.6523369276106534E-4</v>
      </c>
    </row>
    <row r="39" spans="2:9" x14ac:dyDescent="0.3">
      <c r="B39" s="4">
        <f t="shared" ca="1" si="4"/>
        <v>2560000</v>
      </c>
      <c r="C39" s="5">
        <f t="array" aca="1" ref="C39:D39" ca="1">callmc_time(Sheet1!$B$47,Sheet1!$C$47,Sheet1!$D$47,Sheet1!$E$47,Sheet1!$F$47,B11)</f>
        <v>20.820675836330803</v>
      </c>
      <c r="D39" s="5">
        <f ca="1"/>
        <v>0.40234375</v>
      </c>
      <c r="E39" s="5">
        <v>20.825691167995458</v>
      </c>
      <c r="F39" s="7">
        <f ca="1">(C39-Sheet1!$H$47)/Sheet1!$H$47</f>
        <v>-2.4082426000643546E-4</v>
      </c>
    </row>
    <row r="40" spans="2:9" x14ac:dyDescent="0.3">
      <c r="B40" s="4">
        <f t="shared" ca="1" si="4"/>
        <v>5120000</v>
      </c>
      <c r="C40" s="5">
        <f t="array" aca="1" ref="C40:D40" ca="1">callmc_time(Sheet1!$B$47,Sheet1!$C$47,Sheet1!$D$47,Sheet1!$E$47,Sheet1!$F$47,B12)</f>
        <v>20.828251850971895</v>
      </c>
      <c r="D40" s="5">
        <f ca="1"/>
        <v>0.80078125</v>
      </c>
      <c r="E40" s="5">
        <v>20.825691167995458</v>
      </c>
      <c r="F40" s="7">
        <f ca="1">(C40-Sheet1!$H$47)/Sheet1!$H$47</f>
        <v>1.2295788676499196E-4</v>
      </c>
    </row>
    <row r="41" spans="2:9" x14ac:dyDescent="0.3">
      <c r="B41" s="4">
        <f t="shared" ca="1" si="4"/>
        <v>10240000</v>
      </c>
      <c r="C41" s="5">
        <f t="array" aca="1" ref="C41:D41" ca="1">callmc_time(Sheet1!$B$47,Sheet1!$C$47,Sheet1!$D$47,Sheet1!$E$47,Sheet1!$F$47,B13)</f>
        <v>20.823842957470184</v>
      </c>
      <c r="D41" s="5">
        <f ca="1"/>
        <v>1.623046875</v>
      </c>
      <c r="E41" s="5">
        <v>20.825691167995458</v>
      </c>
      <c r="F41" s="7">
        <f ca="1">(C41-Sheet1!$H$47)/Sheet1!$H$47</f>
        <v>-8.8746659612176166E-5</v>
      </c>
    </row>
    <row r="42" spans="2:9" x14ac:dyDescent="0.3">
      <c r="B42" s="4">
        <f t="shared" ca="1" si="4"/>
        <v>20480000</v>
      </c>
      <c r="C42" s="5">
        <f t="array" aca="1" ref="C42:D42" ca="1">callmc_time(Sheet1!$B$47,Sheet1!$C$47,Sheet1!$D$47,Sheet1!$E$47,Sheet1!$F$47,B14)</f>
        <v>20.824271819421039</v>
      </c>
      <c r="D42" s="5">
        <f ca="1"/>
        <v>3.203125</v>
      </c>
      <c r="E42" s="5">
        <v>20.825691167995458</v>
      </c>
      <c r="F42" s="7">
        <f ca="1">(C42-Sheet1!$H$47)/Sheet1!$H$47</f>
        <v>-6.8153731992368001E-5</v>
      </c>
    </row>
    <row r="43" spans="2:9" x14ac:dyDescent="0.3"/>
    <row r="44" spans="2:9" x14ac:dyDescent="0.3">
      <c r="B44" s="1" t="s">
        <v>0</v>
      </c>
      <c r="C44" s="1" t="s">
        <v>1</v>
      </c>
      <c r="D44" s="1" t="s">
        <v>2</v>
      </c>
      <c r="E44" s="1" t="s">
        <v>3</v>
      </c>
      <c r="F44" s="1" t="s">
        <v>4</v>
      </c>
      <c r="G44" s="1" t="s">
        <v>7</v>
      </c>
      <c r="H44" s="1" t="s">
        <v>5</v>
      </c>
      <c r="I44" s="1" t="s">
        <v>6</v>
      </c>
    </row>
    <row r="45" spans="2:9" x14ac:dyDescent="0.3">
      <c r="B45" s="1">
        <v>100</v>
      </c>
      <c r="C45" s="1">
        <v>80</v>
      </c>
      <c r="D45" s="1">
        <v>0.01</v>
      </c>
      <c r="E45" s="1">
        <v>0.35</v>
      </c>
      <c r="F45" s="1">
        <v>1</v>
      </c>
      <c r="G45" s="1">
        <v>100</v>
      </c>
      <c r="H45" s="6">
        <f ca="1">callclosedform(B45,C45,D45,E45,F45)</f>
        <v>25.467546685311461</v>
      </c>
      <c r="I45" s="6">
        <f ca="1">callmc(B45,C45,D45,E45,F45,G45)</f>
        <v>27.455633140475136</v>
      </c>
    </row>
    <row r="46" spans="2:9" x14ac:dyDescent="0.3">
      <c r="B46" s="1">
        <v>100</v>
      </c>
      <c r="C46" s="1">
        <v>120</v>
      </c>
      <c r="D46" s="1">
        <v>0.01</v>
      </c>
      <c r="E46" s="1">
        <v>0.35</v>
      </c>
      <c r="F46" s="1">
        <v>1</v>
      </c>
      <c r="G46" s="1">
        <v>100</v>
      </c>
      <c r="H46" s="6">
        <f ca="1">callclosedform(B46,C46,D46,E46,F46)</f>
        <v>7.5772069070131245</v>
      </c>
      <c r="I46" s="6">
        <f ca="1">callmc(B46,C46,D46,E46,F46,G46)</f>
        <v>8.6095849635609216</v>
      </c>
    </row>
    <row r="47" spans="2:9" x14ac:dyDescent="0.3">
      <c r="B47" s="1">
        <v>100</v>
      </c>
      <c r="C47" s="1">
        <v>80</v>
      </c>
      <c r="D47" s="1">
        <v>0.01</v>
      </c>
      <c r="E47" s="1">
        <v>0.1</v>
      </c>
      <c r="F47" s="1">
        <v>1</v>
      </c>
      <c r="G47" s="1">
        <v>100</v>
      </c>
      <c r="H47" s="6">
        <f ca="1">callclosedform(B47,C47,D47,E47,F47)</f>
        <v>20.825691167995458</v>
      </c>
      <c r="I47" s="6">
        <f ca="1">callmc(B47,C47,D47,E47,F47,G47)</f>
        <v>20.875556050930211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H4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kwh</dc:creator>
  <cp:lastModifiedBy>VDI Admin</cp:lastModifiedBy>
  <dcterms:created xsi:type="dcterms:W3CDTF">2017-07-28T14:03:37Z</dcterms:created>
  <dcterms:modified xsi:type="dcterms:W3CDTF">2017-07-31T00:08:42Z</dcterms:modified>
</cp:coreProperties>
</file>